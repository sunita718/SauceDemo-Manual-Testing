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i\Desktop\"/>
    </mc:Choice>
  </mc:AlternateContent>
  <bookViews>
    <workbookView xWindow="0" yWindow="0" windowWidth="16380" windowHeight="8190" tabRatio="500" firstSheet="3" activeTab="6"/>
  </bookViews>
  <sheets>
    <sheet name="Test Plan" sheetId="1" r:id="rId1"/>
    <sheet name="Login" sheetId="2" r:id="rId2"/>
    <sheet name="Product Sort &amp; Filter" sheetId="3" r:id="rId3"/>
    <sheet name="Add to Cart" sheetId="4" r:id="rId4"/>
    <sheet name="Checkout" sheetId="5" r:id="rId5"/>
    <sheet name="Test Summary" sheetId="6" r:id="rId6"/>
    <sheet name="Bug Report" sheetId="7" r:id="rId7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6" l="1"/>
  <c r="F7" i="6"/>
  <c r="E7" i="6"/>
  <c r="D7" i="6"/>
  <c r="C7" i="6"/>
  <c r="F6" i="6"/>
  <c r="E6" i="6"/>
  <c r="D6" i="6"/>
  <c r="C6" i="6"/>
  <c r="F5" i="6"/>
  <c r="E5" i="6"/>
  <c r="D5" i="6"/>
  <c r="C5" i="6"/>
  <c r="F4" i="6"/>
  <c r="F8" i="6" s="1"/>
  <c r="E4" i="6"/>
  <c r="E8" i="6" s="1"/>
  <c r="D4" i="6"/>
  <c r="D8" i="6" s="1"/>
  <c r="C4" i="6"/>
  <c r="C8" i="6" s="1"/>
</calcChain>
</file>

<file path=xl/sharedStrings.xml><?xml version="1.0" encoding="utf-8"?>
<sst xmlns="http://schemas.openxmlformats.org/spreadsheetml/2006/main" count="547" uniqueCount="351">
  <si>
    <t>Manual Test Plan — SauceDemo E-Commerce</t>
  </si>
  <si>
    <t>Application Under Test</t>
  </si>
  <si>
    <t>SauceDemo (https://www.saucedemo.com)</t>
  </si>
  <si>
    <t>Project Type</t>
  </si>
  <si>
    <t>Manual functional testing</t>
  </si>
  <si>
    <t>Prepared Date</t>
  </si>
  <si>
    <t>2026-07-14</t>
  </si>
  <si>
    <t>Test Environment</t>
  </si>
  <si>
    <t>Staging / Public demo site — Chrome (latest), Firefox (latest)</t>
  </si>
  <si>
    <t>SCOPE</t>
  </si>
  <si>
    <t>In Scope</t>
  </si>
  <si>
    <t>End-to-end functional flow: Login -&gt; Product Browsing/Sort &amp; Filter -&gt; Add to Cart -&gt; Checkout -&gt; Order Confirmation.</t>
  </si>
  <si>
    <t>Out of Scope</t>
  </si>
  <si>
    <t>Performance/load testing, security/penetration testing, cross-browser automation, API testing, accessibility audit.</t>
  </si>
  <si>
    <t>Note on 'Product Search'</t>
  </si>
  <si>
    <t>SauceDemo has no keyword search bar. Product discovery is via a Sort dropdown (Name A-Z/Z-A, Price low-high/high-low) on the inventory page. Test cases below cover sorting and product-catalog verification as the equivalent of 'search' for this app.</t>
  </si>
  <si>
    <t>TEST OBJECTIVES</t>
  </si>
  <si>
    <t>Objective 1</t>
  </si>
  <si>
    <t>Verify all valid/invalid login scenarios and special test users behave as documented.</t>
  </si>
  <si>
    <t>Objective 2</t>
  </si>
  <si>
    <t>Verify inventory listing, sorting, and product detail accuracy.</t>
  </si>
  <si>
    <t>Objective 3</t>
  </si>
  <si>
    <t>Verify items can be added/removed from cart and cart state persists correctly.</t>
  </si>
  <si>
    <t>Objective 4</t>
  </si>
  <si>
    <t>Verify the full checkout flow, field validation, and order completion.</t>
  </si>
  <si>
    <t>TEST DATA — LOGIN USERS</t>
  </si>
  <si>
    <t>standard_user</t>
  </si>
  <si>
    <t>Password: secret_sauce — normal, fully-functional user.</t>
  </si>
  <si>
    <t>locked_out_user</t>
  </si>
  <si>
    <t>Password: secret_sauce — login blocked with an error message.</t>
  </si>
  <si>
    <t>problem_user</t>
  </si>
  <si>
    <t>Password: secret_sauce — UI/image glitches expected (e.g., wrong product images).</t>
  </si>
  <si>
    <t>performance_glitch_user</t>
  </si>
  <si>
    <t>Password: secret_sauce — valid login but with an intentional delay.</t>
  </si>
  <si>
    <t>error_user</t>
  </si>
  <si>
    <t>Password: secret_sauce — may throw errors during checkout steps.</t>
  </si>
  <si>
    <t>visual_user</t>
  </si>
  <si>
    <t>Password: secret_sauce — valid login, used for visual/layout regression checks.</t>
  </si>
  <si>
    <t>ENTRY CRITERIA</t>
  </si>
  <si>
    <t>Application URL is reachable; test environment stable; test data/users confirmed above.</t>
  </si>
  <si>
    <t>EXIT CRITERIA</t>
  </si>
  <si>
    <t>All High priority test cases executed with no open High severity defects; test summary signed off.</t>
  </si>
  <si>
    <t>HOW TO USE THIS WORKBOOK</t>
  </si>
  <si>
    <t>Step 1</t>
  </si>
  <si>
    <t>Open each module tab (Login, Product Sort &amp; Filter, Add to Cart, Checkout).</t>
  </si>
  <si>
    <t>Step 2</t>
  </si>
  <si>
    <t>Execute each test case manually against https://www.saucedemo.com</t>
  </si>
  <si>
    <t>Step 3</t>
  </si>
  <si>
    <t>Fill in 'Actual Result' and select a 'Status' (Pass/Fail/Blocked/Not Run) from the dropdown.</t>
  </si>
  <si>
    <t>Step 4</t>
  </si>
  <si>
    <t>Log any defect reference in 'Notes/Defect ID'.</t>
  </si>
  <si>
    <t>Step 5</t>
  </si>
  <si>
    <t>Check the 'Test Summary' tab for auto-calculated pass/fail counts.</t>
  </si>
  <si>
    <t>SauceDemo – Login Test Cases</t>
  </si>
  <si>
    <t>Covers valid/invalid credential combinations and SauceDemo's special test users. Base URL: https://www.saucedemo.com</t>
  </si>
  <si>
    <t>Test Case ID</t>
  </si>
  <si>
    <t>Title</t>
  </si>
  <si>
    <t>Preconditions</t>
  </si>
  <si>
    <t>Test Steps</t>
  </si>
  <si>
    <t>Test Data</t>
  </si>
  <si>
    <t>Expected Result</t>
  </si>
  <si>
    <t>Priority</t>
  </si>
  <si>
    <t>Type</t>
  </si>
  <si>
    <t>Actual Result</t>
  </si>
  <si>
    <t>Status</t>
  </si>
  <si>
    <t>Notes/Defect ID</t>
  </si>
  <si>
    <t>LOG-01</t>
  </si>
  <si>
    <t>Successful login with standard_user</t>
  </si>
  <si>
    <t>Browser open at https://www.saucedemo.com</t>
  </si>
  <si>
    <t>1. Enter username
2. Enter password
3. Click Login button</t>
  </si>
  <si>
    <t>Username: standard_user
Password: secret_sauce</t>
  </si>
  <si>
    <t>User is redirected to /inventory.html and the product listing (Swag Labs) is displayed.</t>
  </si>
  <si>
    <t>High</t>
  </si>
  <si>
    <t>Positive</t>
  </si>
  <si>
    <t>User successfully redirected to /inventory.html and the product listing (Swag Labs) is displayed.</t>
  </si>
  <si>
    <t>Pass</t>
  </si>
  <si>
    <t>LOG-02</t>
  </si>
  <si>
    <t>Login blocked for locked_out_user</t>
  </si>
  <si>
    <t>Browser open at login page</t>
  </si>
  <si>
    <t>Username: locked_out_user
Password: secret_sauce</t>
  </si>
  <si>
    <t>Login blocked with error message.</t>
  </si>
  <si>
    <t>Negative</t>
  </si>
  <si>
    <t>Login was blocked with the error message.</t>
  </si>
  <si>
    <t>LOG-03</t>
  </si>
  <si>
    <t>Login with invalid password</t>
  </si>
  <si>
    <t>1. Enter valid username
2. Enter incorrect password
3. Click Login button</t>
  </si>
  <si>
    <t>Username: standard_user
Password: wrong_pass</t>
  </si>
  <si>
    <t>Login is rejected with error: 'Epic sadface: Username and password do not match any user in this service.'</t>
  </si>
  <si>
    <t>Login  reject and displaying error: 'Epic sadface: Username and password do not match any user in this service.'</t>
  </si>
  <si>
    <t>LOG-04</t>
  </si>
  <si>
    <t>Login with invalid username</t>
  </si>
  <si>
    <t>1. Enter incorrect username
2. Enter valid password
3. Click Login button</t>
  </si>
  <si>
    <t>Username: invalid_user
Password: secret_sauce</t>
  </si>
  <si>
    <t>Medium</t>
  </si>
  <si>
    <t>LOG-05</t>
  </si>
  <si>
    <t>Login with empty username field</t>
  </si>
  <si>
    <t>1. Leave username blank
2. Enter password
3. Click Login button</t>
  </si>
  <si>
    <t>Username: (blank)
Password: secret_sauce</t>
  </si>
  <si>
    <t>Error message displayed: 'Epic sadface: Username is required.'</t>
  </si>
  <si>
    <t>LOG-06</t>
  </si>
  <si>
    <t>Login with empty password field</t>
  </si>
  <si>
    <t>1. Enter username
2. Leave password blank
3. Click Login button</t>
  </si>
  <si>
    <t>Username: standard_user
Password: (blank)</t>
  </si>
  <si>
    <t>Error message displayed: 'Epic sadface: Password is required.'</t>
  </si>
  <si>
    <t>Error message : 'Epic sadface: Password is required.'</t>
  </si>
  <si>
    <t>LOG-07</t>
  </si>
  <si>
    <t>Login with both fields empty</t>
  </si>
  <si>
    <t>1. Leave username blank
2. Leave password blank
3. Click Login button</t>
  </si>
  <si>
    <t>Username: (blank)
Password: (blank)</t>
  </si>
  <si>
    <t>Low</t>
  </si>
  <si>
    <t>Error message displaying: 'Epic sadface: Username is required.'</t>
  </si>
  <si>
    <t>LOG-08</t>
  </si>
  <si>
    <t>Login with problem_user</t>
  </si>
  <si>
    <t>1. Enter username
2. Enter password
3. Click Login button
4. Observe product images</t>
  </si>
  <si>
    <t>Username: problem_user
Password: secret_sauce</t>
  </si>
  <si>
    <t>Login succeeds but product images are broken/mismatched (known UI defect user) — logged for visual QA, not a login failure.</t>
  </si>
  <si>
    <t>LOG-09</t>
  </si>
  <si>
    <t>Login with performance_glitch_user</t>
  </si>
  <si>
    <t>1. Enter username
2. Enter password
3. Click Login button
4. Note load time</t>
  </si>
  <si>
    <t>Username: performance_glitch_user
Password: secret_sauce</t>
  </si>
  <si>
    <t>Login succeeds after a noticeable delay; inventory page eventually loads correctly.</t>
  </si>
  <si>
    <t>LOG-10</t>
  </si>
  <si>
    <t>Logout functionality</t>
  </si>
  <si>
    <t>User is logged in as standard_user</t>
  </si>
  <si>
    <t>1. Click the hamburger menu (top-left)
2. Click 'Logout'</t>
  </si>
  <si>
    <t>N/A</t>
  </si>
  <si>
    <t>User is logged out and redirected back to the login page.</t>
  </si>
  <si>
    <t>Successfully logged out and redirect back to the login page.</t>
  </si>
  <si>
    <t>LOG-11</t>
  </si>
  <si>
    <t>Session/URL guard — direct inventory access without login</t>
  </si>
  <si>
    <t>User is logged out</t>
  </si>
  <si>
    <t>1. Without logging in, navigate directly to https://www.saucedemo.com/inventory.html</t>
  </si>
  <si>
    <t>User is redirected/blocked with error: 'Epic sadface: You can only access '/inventory.html' when you are logged in.'</t>
  </si>
  <si>
    <t>User is redirected/blocked with error: 'Epic sadface: You can only access '/inventory.html' when you are logged in</t>
  </si>
  <si>
    <t>SauceDemo – Product Sort &amp; Filter Test Cases</t>
  </si>
  <si>
    <t>SauceDemo has no keyword search bar. Product discovery/filtering is via the sort dropdown on the inventory page (/inventory.html). These cases validate catalog display and sorting.</t>
  </si>
  <si>
    <t>Test Cas+A3:I5e ID+A3:F4B4A3:G4A3:I4B4A3:G4</t>
  </si>
  <si>
    <t>PRD-01</t>
  </si>
  <si>
    <t>Verify full product catalog is displayed</t>
  </si>
  <si>
    <t>Logged in as standard_user, on Inventory page</t>
  </si>
  <si>
    <t>1. Observe the inventory page after login</t>
  </si>
  <si>
    <t>All 6products are displaying with image name description</t>
  </si>
  <si>
    <t>PRD-02</t>
  </si>
  <si>
    <t>Sort products by Name (A to Z)</t>
  </si>
  <si>
    <t>On Inventory page</t>
  </si>
  <si>
    <t>1. Click the sort dropdown
2. Select 'Name (A to Z)'</t>
  </si>
  <si>
    <t>Sort option: Name (A to Z)</t>
  </si>
  <si>
    <t>Products re-order alphabetically ascending by name (Backpack first, Test.allTheThings() T-Shirt last).</t>
  </si>
  <si>
    <t>All products are sorting by name (Ato Z)</t>
  </si>
  <si>
    <t>PRD-03</t>
  </si>
  <si>
    <t>Sort products by Name (Z to A)</t>
  </si>
  <si>
    <t>1. Click the sort dropdown
2. Select 'Name (Z to A)'</t>
  </si>
  <si>
    <t>Sort option: Name (Z to A)</t>
  </si>
  <si>
    <t>Products re-order alphabetically descending by name.</t>
  </si>
  <si>
    <t>All products are sorting by name (Z to A))</t>
  </si>
  <si>
    <t>PRD-04</t>
  </si>
  <si>
    <t>Sort products by Price (low to high)</t>
  </si>
  <si>
    <t>1. Click the sort dropdown
2. Select 'Price (low to high)'</t>
  </si>
  <si>
    <t>Sort option: Price (low to high)</t>
  </si>
  <si>
    <t>Products re-order from lowest to highest price ($7.99 ... $49.99).</t>
  </si>
  <si>
    <t>All products are re-orderning from lowest to high price</t>
  </si>
  <si>
    <t>PRD-05</t>
  </si>
  <si>
    <t>Sort products by Price (high to low)</t>
  </si>
  <si>
    <t>1. Click the sort dropdown
2. Select 'Price (high to low)'</t>
  </si>
  <si>
    <t>Sort option: Price (high to low)</t>
  </si>
  <si>
    <t>Products re-order from highest to lowest price.</t>
  </si>
  <si>
    <t>All products are re‑ordering from highest to lowest price”.</t>
  </si>
  <si>
    <t>PRD-06</t>
  </si>
  <si>
    <t>View product detail page</t>
  </si>
  <si>
    <t>1. Click a product name or image (e.g., Sauce Labs Backpack)</t>
  </si>
  <si>
    <t>Product: Sauce Labs Backpack</t>
  </si>
  <si>
    <t>User is navigated to the product detail page showing full description, price, and an 'Add to cart' button.</t>
  </si>
  <si>
    <t>User is redirect to the product detail page ,It displaying full description, price, and an 'Add to cart' button.</t>
  </si>
  <si>
    <t>PRD-07</t>
  </si>
  <si>
    <t>Navigate back from product detail to inventory</t>
  </si>
  <si>
    <t>On a product detail page</t>
  </si>
  <si>
    <t>1. Click 'Back to products' button</t>
  </si>
  <si>
    <t>User returns to the inventory page with the previous sort order/cart state preserved.</t>
  </si>
  <si>
    <t>User Navigate back from product detail to inventory page</t>
  </si>
  <si>
    <t>PRD-08</t>
  </si>
  <si>
    <t>Product images render correctly for standard_user</t>
  </si>
  <si>
    <t>Logged in as standard_user</t>
  </si>
  <si>
    <t>1. Visually inspect each of the 6 product images on the inventory page</t>
  </si>
  <si>
    <t>Each product displays its own correct, unique image (no duplicates/mismatches).</t>
  </si>
  <si>
    <t>All products are displaying with correct image(no duplicates/mismatch)</t>
  </si>
  <si>
    <t>SauceDemo – Add to Cart Test Cases</t>
  </si>
  <si>
    <t>Covers adding/removing single and multiple items, cart badge count, and cart page contents.</t>
  </si>
  <si>
    <t>CRT-01</t>
  </si>
  <si>
    <t>Add a single product to cart from inventory page</t>
  </si>
  <si>
    <t>Logged in, on Inventory page</t>
  </si>
  <si>
    <t>1. Click 'Add to cart' button on Sauce Labs Backpack</t>
  </si>
  <si>
    <t>Button label changes to 'Remove'; cart icon badge shows count '1'.</t>
  </si>
  <si>
    <t>Button label changing to 'Remove' and product adding in to cart and showing count'1'.</t>
  </si>
  <si>
    <t>CRT-02</t>
  </si>
  <si>
    <t>Add multiple different products to cart</t>
  </si>
  <si>
    <t>1. Click 'Add to cart' for 3 different products</t>
  </si>
  <si>
    <t>Products: Backpack, Bike Light, Onesie</t>
  </si>
  <si>
    <t>Cart badge shows count '3'; each button changes to 'Remove'.</t>
  </si>
  <si>
    <t>CRT-03</t>
  </si>
  <si>
    <t>Remove a product from cart via inventory page</t>
  </si>
  <si>
    <t>One item already added to cart</t>
  </si>
  <si>
    <t>1. Click 'Remove' button on the previously added product</t>
  </si>
  <si>
    <t>Button reverts to 'Add to cart'; cart badge count decreases by 1 (or disappears if cart is empty).</t>
  </si>
  <si>
    <t>Button label changing to 'Add to cart' and product remove from  cart badge count decrease by '1'.</t>
  </si>
  <si>
    <t>CRT-04</t>
  </si>
  <si>
    <t>Add product to cart from product detail page</t>
  </si>
  <si>
    <t>Logged in, on a product detail page</t>
  </si>
  <si>
    <t>1. Click 'Add to cart' on the detail page</t>
  </si>
  <si>
    <t>Product: Sauce Labs Bolt T-Shirt</t>
  </si>
  <si>
    <t>Cart badge count increases by 1; button changes to 'Remove' on the detail page.</t>
  </si>
  <si>
    <t xml:space="preserve">Cart badge updated to ‘1’; button label changed to ‘Remove’ on detail page. </t>
  </si>
  <si>
    <t>CRT-05</t>
  </si>
  <si>
    <t>View cart page contents</t>
  </si>
  <si>
    <t>2+ items added to cart</t>
  </si>
  <si>
    <t>1. Click the cart icon (top-right)</t>
  </si>
  <si>
    <t>Cart page (/cart.html) lists all added items with correct name, price, and quantity (1 each).</t>
  </si>
  <si>
    <t>Cart page (/cart.html) displaying  all added items with correct name, price, and quantity (1 each).</t>
  </si>
  <si>
    <t>CRT-06</t>
  </si>
  <si>
    <t>Remove item from within the cart page</t>
  </si>
  <si>
    <t>On Cart page with 2+ items</t>
  </si>
  <si>
    <t>1. Click 'Remove' next to one item in the cart</t>
  </si>
  <si>
    <t>Item is removed from the list immediately; cart badge count updates accordingly.</t>
  </si>
  <si>
    <t>Product is removed from the list immediately; cart badge count decrease accordingly.</t>
  </si>
  <si>
    <t>CRT-07</t>
  </si>
  <si>
    <t>Continue shopping from cart page</t>
  </si>
  <si>
    <t>On Cart page</t>
  </si>
  <si>
    <t>1. Click 'Continue Shopping' button</t>
  </si>
  <si>
    <t>User is returned to the inventory page; cart contents remain unchanged.</t>
  </si>
  <si>
    <t>User is redirected to the inventory page;  cart contents remains unchanged</t>
  </si>
  <si>
    <t>CRT-08</t>
  </si>
  <si>
    <t>Cart persists across sort changes</t>
  </si>
  <si>
    <t>1+ item added to cart</t>
  </si>
  <si>
    <t>1. Add item to cart
2. Change sort order on inventory page
3. Re-check cart badge</t>
  </si>
  <si>
    <t>Cart badge count remains unchanged after sorting; added item still present in cart.</t>
  </si>
  <si>
    <t>Cart badge count is same after sorting;added item still present in cart</t>
  </si>
  <si>
    <t>CRT-09</t>
  </si>
  <si>
    <t>Empty cart shows no items</t>
  </si>
  <si>
    <t>Logged in with no items added</t>
  </si>
  <si>
    <t>1. Click cart icon without adding any product</t>
  </si>
  <si>
    <t>Cart page displays with zero items listed and no badge count shown on the cart icon.</t>
  </si>
  <si>
    <t>Cart page displays zero items; cart badge not shown</t>
  </si>
  <si>
    <t>SauceDemo – Checkout Test Cases</t>
  </si>
  <si>
    <t>Covers the 'Your Information' step, field validation, order overview, and order completion.</t>
  </si>
  <si>
    <t>CHK-01</t>
  </si>
  <si>
    <t>Proceed to checkout from cart page</t>
  </si>
  <si>
    <t>1+ items in cart, on Cart page</t>
  </si>
  <si>
    <t>1. Click 'Checkout' button</t>
  </si>
  <si>
    <t>User is navigated to Step One: 'Your Information' page (/checkout-step-one.html).</t>
  </si>
  <si>
    <t>User is redirected  to Step One: 'Your Information' page (/checkout-step-one.html).</t>
  </si>
  <si>
    <t>CHK-02</t>
  </si>
  <si>
    <t>Complete checkout info with valid data</t>
  </si>
  <si>
    <t>On Checkout Step One page</t>
  </si>
  <si>
    <t>1. Enter First Name
2. Enter Last Name
3. Enter Zip/Postal Code
4. Click Continue</t>
  </si>
  <si>
    <t>First Name: John
Last Name: Doe
Zip: 12345</t>
  </si>
  <si>
    <t>User advances to Step Two: 'Checkout Overview' page (/checkout-step-two.html) listing cart items, item totals, tax, and total.</t>
  </si>
  <si>
    <t>User successfully advances to Step Two: 'Checkout Overview' page (/checkout-step-two.html). The page correctly displays all cart items, item totals, calculated tax, and the final total amount.</t>
  </si>
  <si>
    <t>CHK-03</t>
  </si>
  <si>
    <t>Checkout blocked with missing First Name</t>
  </si>
  <si>
    <t>1. Leave First Name blank
2. Enter Last Name
3. Enter Zip Code
4. Click Continue</t>
  </si>
  <si>
    <t>First Name: (blank)
Last Name: Doe
Zip: 12345</t>
  </si>
  <si>
    <t>Error message displayed: 'Error: First Name is required.' User remains on Step One.</t>
  </si>
  <si>
    <t>Error message displayed: 'Error: First Name is required.' The user is blocked from proceeding and remains on the Step One page.</t>
  </si>
  <si>
    <t>CHK-04</t>
  </si>
  <si>
    <t>Checkout blocked with missing Last Name</t>
  </si>
  <si>
    <t>1. Enter First Name
2. Leave Last Name blank
3. Enter Zip Code
4. Click Continue</t>
  </si>
  <si>
    <t>First Name: John
Last Name: (blank)
Zip: 12345</t>
  </si>
  <si>
    <t>Error message displayed: 'Error: Last Name is required.' User remains on Step One.</t>
  </si>
  <si>
    <t>Error message displayed: 'Error: Last Name is required.' The user is blocked from proceeding and remains on the Step One page.</t>
  </si>
  <si>
    <t>CHK-05</t>
  </si>
  <si>
    <t>Checkout blocked with missing Zip/Postal Code</t>
  </si>
  <si>
    <t>1. Enter First Name
2. Enter Last Name
3. Leave Zip Code blank
4. Click Continue</t>
  </si>
  <si>
    <t>First Name: John
Last Name: Doe
Zip: (blank)</t>
  </si>
  <si>
    <t>Error message displayed: 'Error: Postal Code is required.' User remains on Step One.</t>
  </si>
  <si>
    <t>Error displayed: 'Error: Postal Code is required.' User remains on Step One.</t>
  </si>
  <si>
    <t>CHK-06</t>
  </si>
  <si>
    <t>Cancel checkout from Step One</t>
  </si>
  <si>
    <t>1. Click 'Cancel' button</t>
  </si>
  <si>
    <t>User is returned to the Cart page; cart items remain unchanged.</t>
  </si>
  <si>
    <t>User redirected to Cart page; all cart items remain unchanged.</t>
  </si>
  <si>
    <t>CHK-07</t>
  </si>
  <si>
    <t>Verify order overview totals (Step Two)</t>
  </si>
  <si>
    <t>On Checkout Overview page with known cart items</t>
  </si>
  <si>
    <t>1. Review Item total, Tax, and Total lines</t>
  </si>
  <si>
    <t>e.g., Backpack ($29.99) + Bike Light ($9.99)</t>
  </si>
  <si>
    <t>Item total = sum of item prices; Tax is calculated correctly; Total = Item total + Tax, all displayed accurately.</t>
  </si>
  <si>
    <t>Calculations displayed accurately: Item total, tax, and final total are correct.</t>
  </si>
  <si>
    <t>CHK-08</t>
  </si>
  <si>
    <t>Cancel checkout from Step Two (Overview)</t>
  </si>
  <si>
    <t>On Checkout Overview page</t>
  </si>
  <si>
    <t>User is returned to the Inventory page; cart contents remain unchanged.</t>
  </si>
  <si>
    <t>User redirected to Inventory page; cart contents remain unchanged.</t>
  </si>
  <si>
    <t>CHK-09</t>
  </si>
  <si>
    <t>Complete order (Finish)</t>
  </si>
  <si>
    <t>1. Click 'Finish' button</t>
  </si>
  <si>
    <t>Order completes; 'Checkout: Complete!' page is shown with message 'Thank you for your order!' and a confirmation icon.</t>
  </si>
  <si>
    <t>Order completed: 'Checkout: Complete!' page is displayed with 'Thank you for your order!' message and confirmation icon.</t>
  </si>
  <si>
    <t>CHK-10</t>
  </si>
  <si>
    <t>Cart is emptied after successful order</t>
  </si>
  <si>
    <t>Order just completed (Checkout: Complete! page shown)</t>
  </si>
  <si>
    <t>1. Click 'Back Home' button
2. Check cart badge</t>
  </si>
  <si>
    <t>User returns to Inventory page; cart badge no longer displays a count (cart is empty).</t>
  </si>
  <si>
    <t>User returned to Inventory page; cart badge is hidden and cart is empty.</t>
  </si>
  <si>
    <t>CHK-11</t>
  </si>
  <si>
    <t>Checkout with error_user triggers known checkout defect</t>
  </si>
  <si>
    <t>Logged in as error_user, 1+ item in cart</t>
  </si>
  <si>
    <t>1. Proceed through checkout Steps One and Two
2. Click Finish</t>
  </si>
  <si>
    <t>User: error_user / secret_sauce</t>
  </si>
  <si>
    <t>Document actual behavior — error_user is known to sometimes fail at Finish; capture any unexpected error banner or broken state as a defect.</t>
  </si>
  <si>
    <t>By pressing Finish button nothing happened.</t>
  </si>
  <si>
    <t>Fail</t>
  </si>
  <si>
    <t>BUG‑CHK‑11: Finish button unresponsive for error_user</t>
  </si>
  <si>
    <t>CHK-12</t>
  </si>
  <si>
    <t>Numeric-only / special character zip code handling</t>
  </si>
  <si>
    <t>1. Enter First Name
2. Enter Last Name
3. Enter Zip Code with letters/symbols e.g. 'AB-123'
4. Click Continue</t>
  </si>
  <si>
    <t>Zip: AB-123</t>
  </si>
  <si>
    <t>Document actual behavior: field is free-text on SauceDemo, so it is expected to accept any non-empty value and proceed to Step Two.</t>
  </si>
  <si>
    <t>Field accepts any non-empty value: As a free-text field, it correctly accepted the input and allowed the user to proceed to Step Two.</t>
  </si>
  <si>
    <t>Test Execution Summary</t>
  </si>
  <si>
    <t>Module</t>
  </si>
  <si>
    <t>Total Cases</t>
  </si>
  <si>
    <t>Blocked</t>
  </si>
  <si>
    <t>Not Run</t>
  </si>
  <si>
    <t>Login</t>
  </si>
  <si>
    <t>Product Sort &amp; Filter</t>
  </si>
  <si>
    <t>Add to Cart</t>
  </si>
  <si>
    <t>Checkout</t>
  </si>
  <si>
    <t>TOTAL</t>
  </si>
  <si>
    <t>SauceDemo – Bug Report</t>
  </si>
  <si>
    <t>Tracks defects identified during manual test execution, linked to their originating test case.</t>
  </si>
  <si>
    <t>Bug ID</t>
  </si>
  <si>
    <t>Related Test Case ID</t>
  </si>
  <si>
    <t>Site/Environment</t>
  </si>
  <si>
    <t>Severity</t>
  </si>
  <si>
    <t>Steps to Reproduce</t>
  </si>
  <si>
    <t>Date Reported</t>
  </si>
  <si>
    <t>Reported By</t>
  </si>
  <si>
    <t>Notes</t>
  </si>
  <si>
    <t>BUG-CHK-11</t>
  </si>
  <si>
    <t>Finish button unresponsive for error_user during checkout</t>
  </si>
  <si>
    <t>saucedemo.com</t>
  </si>
  <si>
    <t>1. Log in as error_user / secret_sauce
2. Add 1+ item to cart
3. Proceed through Checkout Steps One and Two
4. Click Finish button</t>
  </si>
  <si>
    <t>Order completes; 'Checkout: Complete!' page is shown with 'Thank you for your order!' message and confirmation icon.</t>
  </si>
  <si>
    <t>Clicking Finish button produced no response — no page transition, no error banner, and no order confirmation.</t>
  </si>
  <si>
    <t>Open</t>
  </si>
  <si>
    <t>QA Team</t>
  </si>
  <si>
    <t>Reproducible with error_user; other users complete checkout normally. See test case CHK-11 in 'Checkout' tab.</t>
  </si>
  <si>
    <t>Login reject and displaying error message : 'Epic sadface: Username is required.'</t>
  </si>
  <si>
    <t>Successful  login and  product images are broken/mismatched (known UI defect user) — logged for visual QA, not a login failure.</t>
  </si>
  <si>
    <t>Successful login after a noticeable delay; inventory page eventually loads correctly.</t>
  </si>
  <si>
    <t>All 6 Products are displayed: Sauce Labs Backpack, Bike Light, Bolt T-Shirt, Fleece Jacket, Onesie, Test.allTheThings() T-Shirt (Red) — each with image, name, description, and price.</t>
  </si>
  <si>
    <t>All selected product's button label changing to 'Remove',Cart badge displays count '3'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</si>
</sst>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8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2"/>
      <color rgb="FF1F4E78"/>
      <name val="Arial"/>
      <charset val="1"/>
    </font>
    <font>
      <b/>
      <sz val="16"/>
      <color rgb="FF1F4E78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7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left" vertical="top" wrapText="1"/>
    </xf>
    <xf numFmtId="0" fontId="1" fillId="0" borderId="0" xfId="0" applyFont="1" applyBorder="1"/>
    <xf numFmtId="0" fontId="4" fillId="2" borderId="0" xfId="0" applyFont="1" applyFill="1" applyBorder="1" applyAlignment="1">
      <alignment vertical="top" wrapText="1"/>
    </xf>
    <xf numFmtId="0" fontId="5" fillId="0" borderId="0" xfId="0" applyFont="1" applyBorder="1"/>
    <xf numFmtId="0" fontId="6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showGridLines="0" topLeftCell="A12" zoomScaleNormal="100" workbookViewId="0">
      <selection activeCell="G1" sqref="G1"/>
    </sheetView>
  </sheetViews>
  <sheetFormatPr defaultColWidth="8.7109375" defaultRowHeight="15" x14ac:dyDescent="0.25"/>
  <cols>
    <col min="1" max="1" width="26" customWidth="1"/>
    <col min="2" max="2" width="90" customWidth="1"/>
  </cols>
  <sheetData>
    <row r="1" spans="1:2" ht="30" customHeight="1" x14ac:dyDescent="0.35">
      <c r="A1" s="8" t="s">
        <v>0</v>
      </c>
      <c r="B1" s="8"/>
    </row>
    <row r="3" spans="1:2" ht="27.75" customHeight="1" x14ac:dyDescent="0.25">
      <c r="A3" s="1" t="s">
        <v>1</v>
      </c>
      <c r="B3" s="2" t="s">
        <v>2</v>
      </c>
    </row>
    <row r="4" spans="1:2" ht="27.75" customHeight="1" x14ac:dyDescent="0.25">
      <c r="A4" s="1" t="s">
        <v>3</v>
      </c>
      <c r="B4" s="2" t="s">
        <v>4</v>
      </c>
    </row>
    <row r="5" spans="1:2" ht="27.75" customHeight="1" x14ac:dyDescent="0.25">
      <c r="A5" s="1" t="s">
        <v>5</v>
      </c>
      <c r="B5" s="2" t="s">
        <v>6</v>
      </c>
    </row>
    <row r="6" spans="1:2" ht="27.75" customHeight="1" x14ac:dyDescent="0.25">
      <c r="A6" s="1" t="s">
        <v>7</v>
      </c>
      <c r="B6" s="2" t="s">
        <v>8</v>
      </c>
    </row>
    <row r="7" spans="1:2" ht="27.75" customHeight="1" x14ac:dyDescent="0.25">
      <c r="A7" s="1"/>
      <c r="B7" s="2"/>
    </row>
    <row r="8" spans="1:2" ht="15" customHeight="1" x14ac:dyDescent="0.25">
      <c r="A8" s="9" t="s">
        <v>9</v>
      </c>
      <c r="B8" s="9"/>
    </row>
    <row r="9" spans="1:2" ht="42" customHeight="1" x14ac:dyDescent="0.25">
      <c r="A9" s="1" t="s">
        <v>10</v>
      </c>
      <c r="B9" s="2" t="s">
        <v>11</v>
      </c>
    </row>
    <row r="10" spans="1:2" ht="42" customHeight="1" x14ac:dyDescent="0.25">
      <c r="A10" s="1" t="s">
        <v>12</v>
      </c>
      <c r="B10" s="2" t="s">
        <v>13</v>
      </c>
    </row>
    <row r="11" spans="1:2" ht="42" customHeight="1" x14ac:dyDescent="0.25">
      <c r="A11" s="1" t="s">
        <v>14</v>
      </c>
      <c r="B11" s="2" t="s">
        <v>15</v>
      </c>
    </row>
    <row r="12" spans="1:2" ht="27.75" customHeight="1" x14ac:dyDescent="0.25">
      <c r="A12" s="1"/>
      <c r="B12" s="2"/>
    </row>
    <row r="13" spans="1:2" ht="15" customHeight="1" x14ac:dyDescent="0.25">
      <c r="A13" s="9" t="s">
        <v>16</v>
      </c>
      <c r="B13" s="9"/>
    </row>
    <row r="14" spans="1:2" ht="27.75" customHeight="1" x14ac:dyDescent="0.25">
      <c r="A14" s="1" t="s">
        <v>17</v>
      </c>
      <c r="B14" s="2" t="s">
        <v>18</v>
      </c>
    </row>
    <row r="15" spans="1:2" ht="27.75" customHeight="1" x14ac:dyDescent="0.25">
      <c r="A15" s="1" t="s">
        <v>19</v>
      </c>
      <c r="B15" s="2" t="s">
        <v>20</v>
      </c>
    </row>
    <row r="16" spans="1:2" ht="27.75" customHeight="1" x14ac:dyDescent="0.25">
      <c r="A16" s="1" t="s">
        <v>21</v>
      </c>
      <c r="B16" s="2" t="s">
        <v>22</v>
      </c>
    </row>
    <row r="17" spans="1:2" ht="27.75" customHeight="1" x14ac:dyDescent="0.25">
      <c r="A17" s="1" t="s">
        <v>23</v>
      </c>
      <c r="B17" s="2" t="s">
        <v>24</v>
      </c>
    </row>
    <row r="18" spans="1:2" ht="27.75" customHeight="1" x14ac:dyDescent="0.25">
      <c r="A18" s="1"/>
      <c r="B18" s="2"/>
    </row>
    <row r="19" spans="1:2" ht="15" customHeight="1" x14ac:dyDescent="0.25">
      <c r="A19" s="9" t="s">
        <v>25</v>
      </c>
      <c r="B19" s="9"/>
    </row>
    <row r="20" spans="1:2" ht="27.75" customHeight="1" x14ac:dyDescent="0.25">
      <c r="A20" s="1" t="s">
        <v>26</v>
      </c>
      <c r="B20" s="2" t="s">
        <v>27</v>
      </c>
    </row>
    <row r="21" spans="1:2" ht="27.75" customHeight="1" x14ac:dyDescent="0.25">
      <c r="A21" s="1" t="s">
        <v>28</v>
      </c>
      <c r="B21" s="2" t="s">
        <v>29</v>
      </c>
    </row>
    <row r="22" spans="1:2" ht="27.75" customHeight="1" x14ac:dyDescent="0.25">
      <c r="A22" s="1" t="s">
        <v>30</v>
      </c>
      <c r="B22" s="2" t="s">
        <v>31</v>
      </c>
    </row>
    <row r="23" spans="1:2" ht="27.75" customHeight="1" x14ac:dyDescent="0.25">
      <c r="A23" s="1" t="s">
        <v>32</v>
      </c>
      <c r="B23" s="2" t="s">
        <v>33</v>
      </c>
    </row>
    <row r="24" spans="1:2" ht="27.75" customHeight="1" x14ac:dyDescent="0.25">
      <c r="A24" s="1" t="s">
        <v>34</v>
      </c>
      <c r="B24" s="2" t="s">
        <v>35</v>
      </c>
    </row>
    <row r="25" spans="1:2" ht="27.75" customHeight="1" x14ac:dyDescent="0.25">
      <c r="A25" s="1" t="s">
        <v>36</v>
      </c>
      <c r="B25" s="2" t="s">
        <v>37</v>
      </c>
    </row>
    <row r="26" spans="1:2" ht="27.75" customHeight="1" x14ac:dyDescent="0.25">
      <c r="A26" s="1"/>
      <c r="B26" s="2"/>
    </row>
    <row r="27" spans="1:2" ht="27.75" customHeight="1" x14ac:dyDescent="0.25">
      <c r="A27" s="1" t="s">
        <v>38</v>
      </c>
      <c r="B27" s="2" t="s">
        <v>39</v>
      </c>
    </row>
    <row r="28" spans="1:2" ht="42" customHeight="1" x14ac:dyDescent="0.25">
      <c r="A28" s="1" t="s">
        <v>40</v>
      </c>
      <c r="B28" s="2" t="s">
        <v>41</v>
      </c>
    </row>
    <row r="29" spans="1:2" ht="27.75" customHeight="1" x14ac:dyDescent="0.25">
      <c r="A29" s="1"/>
      <c r="B29" s="2"/>
    </row>
    <row r="30" spans="1:2" ht="15" customHeight="1" x14ac:dyDescent="0.25">
      <c r="A30" s="9" t="s">
        <v>42</v>
      </c>
      <c r="B30" s="9"/>
    </row>
    <row r="31" spans="1:2" ht="27.75" customHeight="1" x14ac:dyDescent="0.25">
      <c r="A31" s="1" t="s">
        <v>43</v>
      </c>
      <c r="B31" s="2" t="s">
        <v>44</v>
      </c>
    </row>
    <row r="32" spans="1:2" ht="27.75" customHeight="1" x14ac:dyDescent="0.25">
      <c r="A32" s="1" t="s">
        <v>45</v>
      </c>
      <c r="B32" s="2" t="s">
        <v>46</v>
      </c>
    </row>
    <row r="33" spans="1:2" ht="42" customHeight="1" x14ac:dyDescent="0.25">
      <c r="A33" s="1" t="s">
        <v>47</v>
      </c>
      <c r="B33" s="2" t="s">
        <v>48</v>
      </c>
    </row>
    <row r="34" spans="1:2" ht="27.75" customHeight="1" x14ac:dyDescent="0.25">
      <c r="A34" s="1" t="s">
        <v>49</v>
      </c>
      <c r="B34" s="2" t="s">
        <v>50</v>
      </c>
    </row>
    <row r="35" spans="1:2" ht="27.75" customHeight="1" x14ac:dyDescent="0.25">
      <c r="A35" s="1" t="s">
        <v>51</v>
      </c>
      <c r="B35" s="2" t="s">
        <v>52</v>
      </c>
    </row>
  </sheetData>
  <mergeCells count="5">
    <mergeCell ref="A1:B1"/>
    <mergeCell ref="A8:B8"/>
    <mergeCell ref="A13:B13"/>
    <mergeCell ref="A19:B19"/>
    <mergeCell ref="A30:B3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showGridLines="0" topLeftCell="D1" zoomScaleNormal="100" workbookViewId="0">
      <pane ySplit="3" topLeftCell="A10" activePane="bottomLeft" state="frozen"/>
      <selection activeCell="D1" sqref="D1"/>
      <selection pane="bottomLeft" activeCell="G12" sqref="G12"/>
    </sheetView>
  </sheetViews>
  <sheetFormatPr defaultColWidth="8.7109375" defaultRowHeight="15" x14ac:dyDescent="0.25"/>
  <cols>
    <col min="1" max="1" width="12" customWidth="1"/>
    <col min="2" max="2" width="26" customWidth="1"/>
    <col min="3" max="3" width="20" customWidth="1"/>
    <col min="4" max="4" width="42" customWidth="1"/>
    <col min="5" max="5" width="22" customWidth="1"/>
    <col min="6" max="6" width="34" customWidth="1"/>
    <col min="7" max="8" width="10" customWidth="1"/>
    <col min="9" max="9" width="22" customWidth="1"/>
    <col min="10" max="10" width="11" customWidth="1"/>
    <col min="11" max="11" width="18" customWidth="1"/>
  </cols>
  <sheetData>
    <row r="1" spans="1:11" ht="20.25" customHeight="1" x14ac:dyDescent="0.3">
      <c r="A1" s="10" t="s">
        <v>53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30" customHeight="1" x14ac:dyDescent="0.25">
      <c r="A2" s="11" t="s">
        <v>54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27.75" customHeight="1" x14ac:dyDescent="0.25">
      <c r="A3" s="3" t="s">
        <v>55</v>
      </c>
      <c r="B3" s="3" t="s">
        <v>56</v>
      </c>
      <c r="C3" s="3" t="s">
        <v>57</v>
      </c>
      <c r="D3" s="3" t="s">
        <v>58</v>
      </c>
      <c r="E3" s="3" t="s">
        <v>59</v>
      </c>
      <c r="F3" s="3" t="s">
        <v>60</v>
      </c>
      <c r="G3" s="3" t="s">
        <v>61</v>
      </c>
      <c r="H3" s="3" t="s">
        <v>62</v>
      </c>
      <c r="I3" s="3" t="s">
        <v>63</v>
      </c>
      <c r="J3" s="3" t="s">
        <v>64</v>
      </c>
      <c r="K3" s="3" t="s">
        <v>65</v>
      </c>
    </row>
    <row r="4" spans="1:11" ht="60" customHeight="1" x14ac:dyDescent="0.25">
      <c r="A4" s="4" t="s">
        <v>66</v>
      </c>
      <c r="B4" s="4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4" t="s">
        <v>73</v>
      </c>
      <c r="I4" s="4" t="s">
        <v>74</v>
      </c>
      <c r="J4" s="4" t="s">
        <v>75</v>
      </c>
      <c r="K4" s="4"/>
    </row>
    <row r="5" spans="1:11" ht="60" customHeight="1" x14ac:dyDescent="0.25">
      <c r="A5" s="4" t="s">
        <v>76</v>
      </c>
      <c r="B5" s="4" t="s">
        <v>77</v>
      </c>
      <c r="C5" s="4" t="s">
        <v>78</v>
      </c>
      <c r="D5" s="4" t="s">
        <v>69</v>
      </c>
      <c r="E5" s="4" t="s">
        <v>79</v>
      </c>
      <c r="F5" s="4" t="s">
        <v>80</v>
      </c>
      <c r="G5" s="4" t="s">
        <v>72</v>
      </c>
      <c r="H5" s="4" t="s">
        <v>81</v>
      </c>
      <c r="I5" s="4" t="s">
        <v>82</v>
      </c>
      <c r="J5" s="4" t="s">
        <v>75</v>
      </c>
      <c r="K5" s="4"/>
    </row>
    <row r="6" spans="1:11" ht="60" customHeight="1" x14ac:dyDescent="0.25">
      <c r="A6" s="4" t="s">
        <v>83</v>
      </c>
      <c r="B6" s="4" t="s">
        <v>84</v>
      </c>
      <c r="C6" s="4" t="s">
        <v>78</v>
      </c>
      <c r="D6" s="4" t="s">
        <v>85</v>
      </c>
      <c r="E6" s="4" t="s">
        <v>86</v>
      </c>
      <c r="F6" s="4" t="s">
        <v>87</v>
      </c>
      <c r="G6" s="4" t="s">
        <v>72</v>
      </c>
      <c r="H6" s="4" t="s">
        <v>81</v>
      </c>
      <c r="I6" s="4" t="s">
        <v>88</v>
      </c>
      <c r="J6" s="4" t="s">
        <v>75</v>
      </c>
      <c r="K6" s="4"/>
    </row>
    <row r="7" spans="1:11" ht="60" customHeight="1" x14ac:dyDescent="0.25">
      <c r="A7" s="4" t="s">
        <v>89</v>
      </c>
      <c r="B7" s="4" t="s">
        <v>90</v>
      </c>
      <c r="C7" s="4" t="s">
        <v>78</v>
      </c>
      <c r="D7" s="4" t="s">
        <v>91</v>
      </c>
      <c r="E7" s="4" t="s">
        <v>92</v>
      </c>
      <c r="F7" s="4" t="s">
        <v>87</v>
      </c>
      <c r="G7" s="4" t="s">
        <v>93</v>
      </c>
      <c r="H7" s="4" t="s">
        <v>81</v>
      </c>
      <c r="I7" s="4" t="s">
        <v>88</v>
      </c>
      <c r="J7" s="4" t="s">
        <v>75</v>
      </c>
      <c r="K7" s="4"/>
    </row>
    <row r="8" spans="1:11" ht="60" customHeight="1" x14ac:dyDescent="0.25">
      <c r="A8" s="4" t="s">
        <v>94</v>
      </c>
      <c r="B8" s="4" t="s">
        <v>95</v>
      </c>
      <c r="C8" s="4" t="s">
        <v>78</v>
      </c>
      <c r="D8" s="4" t="s">
        <v>96</v>
      </c>
      <c r="E8" s="4" t="s">
        <v>97</v>
      </c>
      <c r="F8" s="4" t="s">
        <v>98</v>
      </c>
      <c r="G8" s="4" t="s">
        <v>93</v>
      </c>
      <c r="H8" s="4" t="s">
        <v>81</v>
      </c>
      <c r="I8" s="4" t="s">
        <v>346</v>
      </c>
      <c r="J8" s="4" t="s">
        <v>75</v>
      </c>
      <c r="K8" s="4"/>
    </row>
    <row r="9" spans="1:11" ht="60" customHeight="1" x14ac:dyDescent="0.25">
      <c r="A9" s="4" t="s">
        <v>99</v>
      </c>
      <c r="B9" s="4" t="s">
        <v>100</v>
      </c>
      <c r="C9" s="4" t="s">
        <v>78</v>
      </c>
      <c r="D9" s="4" t="s">
        <v>101</v>
      </c>
      <c r="E9" s="4" t="s">
        <v>102</v>
      </c>
      <c r="F9" s="4" t="s">
        <v>103</v>
      </c>
      <c r="G9" s="4" t="s">
        <v>93</v>
      </c>
      <c r="H9" s="4" t="s">
        <v>81</v>
      </c>
      <c r="I9" s="4" t="s">
        <v>104</v>
      </c>
      <c r="J9" s="4" t="s">
        <v>75</v>
      </c>
      <c r="K9" s="4"/>
    </row>
    <row r="10" spans="1:11" ht="60" customHeight="1" x14ac:dyDescent="0.25">
      <c r="A10" s="4" t="s">
        <v>105</v>
      </c>
      <c r="B10" s="4" t="s">
        <v>106</v>
      </c>
      <c r="C10" s="4" t="s">
        <v>78</v>
      </c>
      <c r="D10" s="4" t="s">
        <v>107</v>
      </c>
      <c r="E10" s="4" t="s">
        <v>108</v>
      </c>
      <c r="F10" s="4" t="s">
        <v>98</v>
      </c>
      <c r="G10" s="4" t="s">
        <v>109</v>
      </c>
      <c r="H10" s="4" t="s">
        <v>81</v>
      </c>
      <c r="I10" s="4" t="s">
        <v>110</v>
      </c>
      <c r="J10" s="4" t="s">
        <v>75</v>
      </c>
      <c r="K10" s="4"/>
    </row>
    <row r="11" spans="1:11" ht="60" customHeight="1" x14ac:dyDescent="0.25">
      <c r="A11" s="4" t="s">
        <v>111</v>
      </c>
      <c r="B11" s="4" t="s">
        <v>112</v>
      </c>
      <c r="C11" s="4" t="s">
        <v>78</v>
      </c>
      <c r="D11" s="4" t="s">
        <v>113</v>
      </c>
      <c r="E11" s="4" t="s">
        <v>114</v>
      </c>
      <c r="F11" s="4" t="s">
        <v>115</v>
      </c>
      <c r="G11" s="4" t="s">
        <v>109</v>
      </c>
      <c r="H11" s="4" t="s">
        <v>73</v>
      </c>
      <c r="I11" s="4" t="s">
        <v>347</v>
      </c>
      <c r="J11" s="4" t="s">
        <v>75</v>
      </c>
      <c r="K11" s="4"/>
    </row>
    <row r="12" spans="1:11" ht="60" customHeight="1" x14ac:dyDescent="0.25">
      <c r="A12" s="4" t="s">
        <v>116</v>
      </c>
      <c r="B12" s="4" t="s">
        <v>117</v>
      </c>
      <c r="C12" s="4" t="s">
        <v>78</v>
      </c>
      <c r="D12" s="4" t="s">
        <v>118</v>
      </c>
      <c r="E12" s="4" t="s">
        <v>119</v>
      </c>
      <c r="F12" s="4" t="s">
        <v>120</v>
      </c>
      <c r="G12" s="4" t="s">
        <v>109</v>
      </c>
      <c r="H12" s="4" t="s">
        <v>73</v>
      </c>
      <c r="I12" s="4" t="s">
        <v>348</v>
      </c>
      <c r="J12" s="4" t="s">
        <v>75</v>
      </c>
      <c r="K12" s="4"/>
    </row>
    <row r="13" spans="1:11" ht="60" customHeight="1" x14ac:dyDescent="0.25">
      <c r="A13" s="4" t="s">
        <v>121</v>
      </c>
      <c r="B13" s="4" t="s">
        <v>122</v>
      </c>
      <c r="C13" s="4" t="s">
        <v>123</v>
      </c>
      <c r="D13" s="4" t="s">
        <v>124</v>
      </c>
      <c r="E13" s="4" t="s">
        <v>125</v>
      </c>
      <c r="F13" s="4" t="s">
        <v>126</v>
      </c>
      <c r="G13" s="4" t="s">
        <v>93</v>
      </c>
      <c r="H13" s="4" t="s">
        <v>73</v>
      </c>
      <c r="I13" s="4" t="s">
        <v>127</v>
      </c>
      <c r="J13" s="4" t="s">
        <v>75</v>
      </c>
      <c r="K13" s="4"/>
    </row>
    <row r="14" spans="1:11" ht="60" customHeight="1" x14ac:dyDescent="0.25">
      <c r="A14" s="4" t="s">
        <v>128</v>
      </c>
      <c r="B14" s="4" t="s">
        <v>129</v>
      </c>
      <c r="C14" s="4" t="s">
        <v>130</v>
      </c>
      <c r="D14" s="4" t="s">
        <v>131</v>
      </c>
      <c r="E14" s="4" t="s">
        <v>125</v>
      </c>
      <c r="F14" s="4" t="s">
        <v>132</v>
      </c>
      <c r="G14" s="4" t="s">
        <v>93</v>
      </c>
      <c r="H14" s="4" t="s">
        <v>81</v>
      </c>
      <c r="I14" s="4" t="s">
        <v>133</v>
      </c>
      <c r="J14" s="4" t="s">
        <v>75</v>
      </c>
      <c r="K14" s="4"/>
    </row>
  </sheetData>
  <mergeCells count="2">
    <mergeCell ref="A1:K1"/>
    <mergeCell ref="A2:K2"/>
  </mergeCells>
  <dataValidations count="3">
    <dataValidation type="list" allowBlank="1" sqref="J4:J14">
      <formula1>"Not Run,Pass,Fail,Blocked"</formula1>
      <formula2>0</formula2>
    </dataValidation>
    <dataValidation type="list" allowBlank="1" sqref="G4:G14">
      <formula1>"High,Medium,Low"</formula1>
      <formula2>0</formula2>
    </dataValidation>
    <dataValidation type="list" allowBlank="1" sqref="H4:H14">
      <formula1>"Positive,Negative"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showGridLines="0" topLeftCell="B1" zoomScaleNormal="100" workbookViewId="0">
      <pane ySplit="3" topLeftCell="A4" activePane="bottomLeft" state="frozen"/>
      <selection activeCell="D1" sqref="D1"/>
      <selection pane="bottomLeft" activeCell="D4" sqref="D4"/>
    </sheetView>
  </sheetViews>
  <sheetFormatPr defaultColWidth="8.7109375" defaultRowHeight="15" x14ac:dyDescent="0.25"/>
  <cols>
    <col min="1" max="1" width="12" customWidth="1"/>
    <col min="2" max="2" width="26" customWidth="1"/>
    <col min="3" max="3" width="20" customWidth="1"/>
    <col min="4" max="4" width="42" customWidth="1"/>
    <col min="5" max="5" width="22" customWidth="1"/>
    <col min="6" max="6" width="34" customWidth="1"/>
    <col min="7" max="8" width="10" customWidth="1"/>
    <col min="9" max="9" width="22" customWidth="1"/>
    <col min="10" max="10" width="11" customWidth="1"/>
    <col min="11" max="11" width="18" customWidth="1"/>
  </cols>
  <sheetData>
    <row r="1" spans="1:11" ht="20.25" customHeight="1" x14ac:dyDescent="0.3">
      <c r="A1" s="10" t="s">
        <v>134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30" customHeight="1" x14ac:dyDescent="0.25">
      <c r="A2" s="11" t="s">
        <v>135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27.75" customHeight="1" x14ac:dyDescent="0.25">
      <c r="A3" s="3" t="s">
        <v>136</v>
      </c>
      <c r="B3" s="3" t="s">
        <v>56</v>
      </c>
      <c r="C3" s="3" t="s">
        <v>57</v>
      </c>
      <c r="D3" s="3" t="s">
        <v>58</v>
      </c>
      <c r="E3" s="3" t="s">
        <v>59</v>
      </c>
      <c r="F3" s="3" t="s">
        <v>60</v>
      </c>
      <c r="G3" s="3" t="s">
        <v>61</v>
      </c>
      <c r="H3" s="3" t="s">
        <v>62</v>
      </c>
      <c r="I3" s="3" t="s">
        <v>63</v>
      </c>
      <c r="J3" s="3" t="s">
        <v>64</v>
      </c>
      <c r="K3" s="3" t="s">
        <v>65</v>
      </c>
    </row>
    <row r="4" spans="1:11" ht="60" customHeight="1" x14ac:dyDescent="0.25">
      <c r="A4" s="4" t="s">
        <v>137</v>
      </c>
      <c r="B4" s="4" t="s">
        <v>138</v>
      </c>
      <c r="C4" s="4" t="s">
        <v>139</v>
      </c>
      <c r="D4" s="4" t="s">
        <v>140</v>
      </c>
      <c r="E4" s="4" t="s">
        <v>125</v>
      </c>
      <c r="F4" s="4" t="s">
        <v>349</v>
      </c>
      <c r="G4" s="4" t="s">
        <v>72</v>
      </c>
      <c r="H4" s="4" t="s">
        <v>73</v>
      </c>
      <c r="I4" s="4" t="s">
        <v>141</v>
      </c>
      <c r="J4" s="4" t="s">
        <v>75</v>
      </c>
      <c r="K4" s="4"/>
    </row>
    <row r="5" spans="1:11" ht="60" customHeight="1" x14ac:dyDescent="0.25">
      <c r="A5" s="4" t="s">
        <v>142</v>
      </c>
      <c r="B5" s="4" t="s">
        <v>143</v>
      </c>
      <c r="C5" s="4" t="s">
        <v>144</v>
      </c>
      <c r="D5" s="4" t="s">
        <v>145</v>
      </c>
      <c r="E5" s="4" t="s">
        <v>146</v>
      </c>
      <c r="F5" s="4" t="s">
        <v>147</v>
      </c>
      <c r="G5" s="4" t="s">
        <v>93</v>
      </c>
      <c r="H5" s="4" t="s">
        <v>73</v>
      </c>
      <c r="I5" s="4" t="s">
        <v>148</v>
      </c>
      <c r="J5" s="4" t="s">
        <v>75</v>
      </c>
      <c r="K5" s="4"/>
    </row>
    <row r="6" spans="1:11" ht="60" customHeight="1" x14ac:dyDescent="0.25">
      <c r="A6" s="4" t="s">
        <v>149</v>
      </c>
      <c r="B6" s="4" t="s">
        <v>150</v>
      </c>
      <c r="C6" s="4" t="s">
        <v>144</v>
      </c>
      <c r="D6" s="4" t="s">
        <v>151</v>
      </c>
      <c r="E6" s="4" t="s">
        <v>152</v>
      </c>
      <c r="F6" s="4" t="s">
        <v>153</v>
      </c>
      <c r="G6" s="4" t="s">
        <v>93</v>
      </c>
      <c r="H6" s="4" t="s">
        <v>73</v>
      </c>
      <c r="I6" s="4" t="s">
        <v>154</v>
      </c>
      <c r="J6" s="4" t="s">
        <v>75</v>
      </c>
      <c r="K6" s="4"/>
    </row>
    <row r="7" spans="1:11" ht="60" customHeight="1" x14ac:dyDescent="0.25">
      <c r="A7" s="4" t="s">
        <v>155</v>
      </c>
      <c r="B7" s="4" t="s">
        <v>156</v>
      </c>
      <c r="C7" s="4" t="s">
        <v>144</v>
      </c>
      <c r="D7" s="4" t="s">
        <v>157</v>
      </c>
      <c r="E7" s="4" t="s">
        <v>158</v>
      </c>
      <c r="F7" s="4" t="s">
        <v>159</v>
      </c>
      <c r="G7" s="4" t="s">
        <v>93</v>
      </c>
      <c r="H7" s="4" t="s">
        <v>73</v>
      </c>
      <c r="I7" s="4" t="s">
        <v>160</v>
      </c>
      <c r="J7" s="4" t="s">
        <v>75</v>
      </c>
      <c r="K7" s="4"/>
    </row>
    <row r="8" spans="1:11" ht="60" customHeight="1" x14ac:dyDescent="0.25">
      <c r="A8" s="4" t="s">
        <v>161</v>
      </c>
      <c r="B8" s="4" t="s">
        <v>162</v>
      </c>
      <c r="C8" s="4" t="s">
        <v>144</v>
      </c>
      <c r="D8" s="4" t="s">
        <v>163</v>
      </c>
      <c r="E8" s="4" t="s">
        <v>164</v>
      </c>
      <c r="F8" s="4" t="s">
        <v>165</v>
      </c>
      <c r="G8" s="4" t="s">
        <v>93</v>
      </c>
      <c r="H8" s="4" t="s">
        <v>73</v>
      </c>
      <c r="I8" s="4" t="s">
        <v>166</v>
      </c>
      <c r="J8" s="4" t="s">
        <v>75</v>
      </c>
      <c r="K8" s="4"/>
    </row>
    <row r="9" spans="1:11" ht="60" customHeight="1" x14ac:dyDescent="0.25">
      <c r="A9" s="4" t="s">
        <v>167</v>
      </c>
      <c r="B9" s="4" t="s">
        <v>168</v>
      </c>
      <c r="C9" s="4" t="s">
        <v>144</v>
      </c>
      <c r="D9" s="4" t="s">
        <v>169</v>
      </c>
      <c r="E9" s="4" t="s">
        <v>170</v>
      </c>
      <c r="F9" s="4" t="s">
        <v>171</v>
      </c>
      <c r="G9" s="4" t="s">
        <v>93</v>
      </c>
      <c r="H9" s="4" t="s">
        <v>73</v>
      </c>
      <c r="I9" s="4" t="s">
        <v>172</v>
      </c>
      <c r="J9" s="4" t="s">
        <v>75</v>
      </c>
      <c r="K9" s="4"/>
    </row>
    <row r="10" spans="1:11" ht="60" customHeight="1" x14ac:dyDescent="0.25">
      <c r="A10" s="4" t="s">
        <v>173</v>
      </c>
      <c r="B10" s="4" t="s">
        <v>174</v>
      </c>
      <c r="C10" s="4" t="s">
        <v>175</v>
      </c>
      <c r="D10" s="4" t="s">
        <v>176</v>
      </c>
      <c r="E10" s="4" t="s">
        <v>125</v>
      </c>
      <c r="F10" s="4" t="s">
        <v>177</v>
      </c>
      <c r="G10" s="4" t="s">
        <v>109</v>
      </c>
      <c r="H10" s="4" t="s">
        <v>73</v>
      </c>
      <c r="I10" s="4" t="s">
        <v>178</v>
      </c>
      <c r="J10" s="4" t="s">
        <v>75</v>
      </c>
      <c r="K10" s="4"/>
    </row>
    <row r="11" spans="1:11" ht="60" customHeight="1" x14ac:dyDescent="0.25">
      <c r="A11" s="4" t="s">
        <v>179</v>
      </c>
      <c r="B11" s="4" t="s">
        <v>180</v>
      </c>
      <c r="C11" s="4" t="s">
        <v>181</v>
      </c>
      <c r="D11" s="4" t="s">
        <v>182</v>
      </c>
      <c r="E11" s="4" t="s">
        <v>125</v>
      </c>
      <c r="F11" s="4" t="s">
        <v>183</v>
      </c>
      <c r="G11" s="4" t="s">
        <v>109</v>
      </c>
      <c r="H11" s="4" t="s">
        <v>73</v>
      </c>
      <c r="I11" s="4" t="s">
        <v>184</v>
      </c>
      <c r="J11" s="4" t="s">
        <v>75</v>
      </c>
      <c r="K11" s="4"/>
    </row>
  </sheetData>
  <mergeCells count="2">
    <mergeCell ref="A1:K1"/>
    <mergeCell ref="A2:K2"/>
  </mergeCells>
  <dataValidations count="3">
    <dataValidation type="list" allowBlank="1" sqref="J4:J11">
      <formula1>"Not Run,Pass,Fail,Blocked"</formula1>
      <formula2>0</formula2>
    </dataValidation>
    <dataValidation type="list" allowBlank="1" sqref="G4:G11">
      <formula1>"High,Medium,Low"</formula1>
      <formula2>0</formula2>
    </dataValidation>
    <dataValidation type="list" allowBlank="1" sqref="H4:H11">
      <formula1>"Positive,Negative"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showGridLines="0" topLeftCell="D1" zoomScaleNormal="100" workbookViewId="0">
      <pane ySplit="3" topLeftCell="A4" activePane="bottomLeft" state="frozen"/>
      <selection activeCell="E1" sqref="E1"/>
      <selection pane="bottomLeft" activeCell="G5" sqref="G5"/>
    </sheetView>
  </sheetViews>
  <sheetFormatPr defaultColWidth="8.7109375" defaultRowHeight="15" x14ac:dyDescent="0.25"/>
  <cols>
    <col min="1" max="1" width="12" customWidth="1"/>
    <col min="2" max="2" width="26" customWidth="1"/>
    <col min="3" max="3" width="20" customWidth="1"/>
    <col min="4" max="4" width="42" customWidth="1"/>
    <col min="5" max="5" width="22" customWidth="1"/>
    <col min="6" max="6" width="34" customWidth="1"/>
    <col min="7" max="8" width="10" customWidth="1"/>
    <col min="9" max="9" width="22" customWidth="1"/>
    <col min="10" max="10" width="11" customWidth="1"/>
    <col min="11" max="11" width="18" customWidth="1"/>
  </cols>
  <sheetData>
    <row r="1" spans="1:11" ht="20.25" customHeight="1" x14ac:dyDescent="0.3">
      <c r="A1" s="10" t="s">
        <v>185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30" customHeight="1" x14ac:dyDescent="0.25">
      <c r="A2" s="11" t="s">
        <v>186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27.75" customHeight="1" x14ac:dyDescent="0.25">
      <c r="A3" s="3" t="s">
        <v>55</v>
      </c>
      <c r="B3" s="3" t="s">
        <v>56</v>
      </c>
      <c r="C3" s="3" t="s">
        <v>57</v>
      </c>
      <c r="D3" s="3" t="s">
        <v>58</v>
      </c>
      <c r="E3" s="3" t="s">
        <v>59</v>
      </c>
      <c r="F3" s="3" t="s">
        <v>60</v>
      </c>
      <c r="G3" s="3" t="s">
        <v>61</v>
      </c>
      <c r="H3" s="3" t="s">
        <v>62</v>
      </c>
      <c r="I3" s="3" t="s">
        <v>63</v>
      </c>
      <c r="J3" s="3" t="s">
        <v>64</v>
      </c>
      <c r="K3" s="3" t="s">
        <v>65</v>
      </c>
    </row>
    <row r="4" spans="1:11" ht="60" customHeight="1" x14ac:dyDescent="0.25">
      <c r="A4" s="4" t="s">
        <v>187</v>
      </c>
      <c r="B4" s="4" t="s">
        <v>188</v>
      </c>
      <c r="C4" s="4" t="s">
        <v>189</v>
      </c>
      <c r="D4" s="4" t="s">
        <v>190</v>
      </c>
      <c r="E4" s="4" t="s">
        <v>170</v>
      </c>
      <c r="F4" s="4" t="s">
        <v>191</v>
      </c>
      <c r="G4" s="4" t="s">
        <v>72</v>
      </c>
      <c r="H4" s="4" t="s">
        <v>73</v>
      </c>
      <c r="I4" s="4" t="s">
        <v>192</v>
      </c>
      <c r="J4" s="4" t="s">
        <v>75</v>
      </c>
      <c r="K4" s="4"/>
    </row>
    <row r="5" spans="1:11" ht="60" customHeight="1" x14ac:dyDescent="0.25">
      <c r="A5" s="4" t="s">
        <v>193</v>
      </c>
      <c r="B5" s="4" t="s">
        <v>194</v>
      </c>
      <c r="C5" s="4" t="s">
        <v>189</v>
      </c>
      <c r="D5" s="4" t="s">
        <v>195</v>
      </c>
      <c r="E5" s="4" t="s">
        <v>196</v>
      </c>
      <c r="F5" s="4" t="s">
        <v>197</v>
      </c>
      <c r="G5" s="4" t="s">
        <v>72</v>
      </c>
      <c r="H5" s="4" t="s">
        <v>73</v>
      </c>
      <c r="I5" s="4" t="s">
        <v>350</v>
      </c>
      <c r="J5" s="4" t="s">
        <v>75</v>
      </c>
      <c r="K5" s="4"/>
    </row>
    <row r="6" spans="1:11" ht="60" customHeight="1" x14ac:dyDescent="0.25">
      <c r="A6" s="4" t="s">
        <v>198</v>
      </c>
      <c r="B6" s="4" t="s">
        <v>199</v>
      </c>
      <c r="C6" s="4" t="s">
        <v>200</v>
      </c>
      <c r="D6" s="4" t="s">
        <v>201</v>
      </c>
      <c r="E6" s="4" t="s">
        <v>170</v>
      </c>
      <c r="F6" s="4" t="s">
        <v>202</v>
      </c>
      <c r="G6" s="4" t="s">
        <v>93</v>
      </c>
      <c r="H6" s="4" t="s">
        <v>73</v>
      </c>
      <c r="I6" s="4" t="s">
        <v>203</v>
      </c>
      <c r="J6" s="4" t="s">
        <v>75</v>
      </c>
      <c r="K6" s="4"/>
    </row>
    <row r="7" spans="1:11" ht="60" customHeight="1" x14ac:dyDescent="0.25">
      <c r="A7" s="4" t="s">
        <v>204</v>
      </c>
      <c r="B7" s="4" t="s">
        <v>205</v>
      </c>
      <c r="C7" s="4" t="s">
        <v>206</v>
      </c>
      <c r="D7" s="4" t="s">
        <v>207</v>
      </c>
      <c r="E7" s="4" t="s">
        <v>208</v>
      </c>
      <c r="F7" s="4" t="s">
        <v>209</v>
      </c>
      <c r="G7" s="4" t="s">
        <v>93</v>
      </c>
      <c r="H7" s="4" t="s">
        <v>73</v>
      </c>
      <c r="I7" s="4" t="s">
        <v>210</v>
      </c>
      <c r="J7" s="4" t="s">
        <v>75</v>
      </c>
      <c r="K7" s="4"/>
    </row>
    <row r="8" spans="1:11" ht="60" customHeight="1" x14ac:dyDescent="0.25">
      <c r="A8" s="4" t="s">
        <v>211</v>
      </c>
      <c r="B8" s="4" t="s">
        <v>212</v>
      </c>
      <c r="C8" s="4" t="s">
        <v>213</v>
      </c>
      <c r="D8" s="4" t="s">
        <v>214</v>
      </c>
      <c r="E8" s="4" t="s">
        <v>125</v>
      </c>
      <c r="F8" s="4" t="s">
        <v>215</v>
      </c>
      <c r="G8" s="4" t="s">
        <v>72</v>
      </c>
      <c r="H8" s="4" t="s">
        <v>73</v>
      </c>
      <c r="I8" s="4" t="s">
        <v>216</v>
      </c>
      <c r="J8" s="4" t="s">
        <v>75</v>
      </c>
      <c r="K8" s="4"/>
    </row>
    <row r="9" spans="1:11" ht="60" customHeight="1" x14ac:dyDescent="0.25">
      <c r="A9" s="4" t="s">
        <v>217</v>
      </c>
      <c r="B9" s="4" t="s">
        <v>218</v>
      </c>
      <c r="C9" s="4" t="s">
        <v>219</v>
      </c>
      <c r="D9" s="4" t="s">
        <v>220</v>
      </c>
      <c r="E9" s="4" t="s">
        <v>125</v>
      </c>
      <c r="F9" s="4" t="s">
        <v>221</v>
      </c>
      <c r="G9" s="4" t="s">
        <v>93</v>
      </c>
      <c r="H9" s="4" t="s">
        <v>73</v>
      </c>
      <c r="I9" s="4" t="s">
        <v>222</v>
      </c>
      <c r="J9" s="4" t="s">
        <v>75</v>
      </c>
      <c r="K9" s="4"/>
    </row>
    <row r="10" spans="1:11" ht="60" customHeight="1" x14ac:dyDescent="0.25">
      <c r="A10" s="4" t="s">
        <v>223</v>
      </c>
      <c r="B10" s="4" t="s">
        <v>224</v>
      </c>
      <c r="C10" s="4" t="s">
        <v>225</v>
      </c>
      <c r="D10" s="4" t="s">
        <v>226</v>
      </c>
      <c r="E10" s="4" t="s">
        <v>125</v>
      </c>
      <c r="F10" s="4" t="s">
        <v>227</v>
      </c>
      <c r="G10" s="4" t="s">
        <v>109</v>
      </c>
      <c r="H10" s="4" t="s">
        <v>73</v>
      </c>
      <c r="I10" s="4" t="s">
        <v>228</v>
      </c>
      <c r="J10" s="4" t="s">
        <v>75</v>
      </c>
      <c r="K10" s="4"/>
    </row>
    <row r="11" spans="1:11" ht="60" customHeight="1" x14ac:dyDescent="0.25">
      <c r="A11" s="4" t="s">
        <v>229</v>
      </c>
      <c r="B11" s="4" t="s">
        <v>230</v>
      </c>
      <c r="C11" s="4" t="s">
        <v>231</v>
      </c>
      <c r="D11" s="4" t="s">
        <v>232</v>
      </c>
      <c r="E11" s="4" t="s">
        <v>125</v>
      </c>
      <c r="F11" s="4" t="s">
        <v>233</v>
      </c>
      <c r="G11" s="4" t="s">
        <v>109</v>
      </c>
      <c r="H11" s="4" t="s">
        <v>73</v>
      </c>
      <c r="I11" s="4" t="s">
        <v>234</v>
      </c>
      <c r="J11" s="4" t="s">
        <v>75</v>
      </c>
      <c r="K11" s="4"/>
    </row>
    <row r="12" spans="1:11" ht="60" customHeight="1" x14ac:dyDescent="0.25">
      <c r="A12" s="4" t="s">
        <v>235</v>
      </c>
      <c r="B12" s="4" t="s">
        <v>236</v>
      </c>
      <c r="C12" s="4" t="s">
        <v>237</v>
      </c>
      <c r="D12" s="4" t="s">
        <v>238</v>
      </c>
      <c r="E12" s="4" t="s">
        <v>125</v>
      </c>
      <c r="F12" s="4" t="s">
        <v>239</v>
      </c>
      <c r="G12" s="4" t="s">
        <v>109</v>
      </c>
      <c r="H12" s="4" t="s">
        <v>73</v>
      </c>
      <c r="I12" s="4" t="s">
        <v>240</v>
      </c>
      <c r="J12" s="4" t="s">
        <v>75</v>
      </c>
      <c r="K12" s="4"/>
    </row>
  </sheetData>
  <mergeCells count="2">
    <mergeCell ref="A1:K1"/>
    <mergeCell ref="A2:K2"/>
  </mergeCells>
  <dataValidations count="3">
    <dataValidation type="list" allowBlank="1" sqref="J4:J12">
      <formula1>"Not Run,Pass,Fail,Blocked"</formula1>
      <formula2>0</formula2>
    </dataValidation>
    <dataValidation type="list" allowBlank="1" sqref="G4:G12">
      <formula1>"High,Medium,Low"</formula1>
      <formula2>0</formula2>
    </dataValidation>
    <dataValidation type="list" allowBlank="1" sqref="H4:H12">
      <formula1>"Positive,Negative"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showGridLines="0" topLeftCell="E1" zoomScaleNormal="100" workbookViewId="0">
      <pane ySplit="3" topLeftCell="A13" activePane="bottomLeft" state="frozen"/>
      <selection activeCell="E1" sqref="E1"/>
      <selection pane="bottomLeft" activeCell="M15" sqref="M15"/>
    </sheetView>
  </sheetViews>
  <sheetFormatPr defaultColWidth="8.7109375" defaultRowHeight="15" x14ac:dyDescent="0.25"/>
  <cols>
    <col min="1" max="1" width="12" customWidth="1"/>
    <col min="2" max="2" width="26" customWidth="1"/>
    <col min="3" max="3" width="20" customWidth="1"/>
    <col min="4" max="4" width="42" customWidth="1"/>
    <col min="5" max="5" width="22" customWidth="1"/>
    <col min="6" max="6" width="34" customWidth="1"/>
    <col min="7" max="8" width="10" customWidth="1"/>
    <col min="9" max="9" width="22" customWidth="1"/>
    <col min="10" max="10" width="11" customWidth="1"/>
    <col min="11" max="11" width="18" customWidth="1"/>
  </cols>
  <sheetData>
    <row r="1" spans="1:11" ht="20.25" customHeight="1" x14ac:dyDescent="0.3">
      <c r="A1" s="10" t="s">
        <v>241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30" customHeight="1" x14ac:dyDescent="0.25">
      <c r="A2" s="11" t="s">
        <v>242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27.75" customHeight="1" x14ac:dyDescent="0.25">
      <c r="A3" s="3" t="s">
        <v>55</v>
      </c>
      <c r="B3" s="3" t="s">
        <v>56</v>
      </c>
      <c r="C3" s="3" t="s">
        <v>57</v>
      </c>
      <c r="D3" s="3" t="s">
        <v>58</v>
      </c>
      <c r="E3" s="3" t="s">
        <v>59</v>
      </c>
      <c r="F3" s="3" t="s">
        <v>60</v>
      </c>
      <c r="G3" s="3" t="s">
        <v>61</v>
      </c>
      <c r="H3" s="3" t="s">
        <v>62</v>
      </c>
      <c r="I3" s="3" t="s">
        <v>63</v>
      </c>
      <c r="J3" s="3" t="s">
        <v>64</v>
      </c>
      <c r="K3" s="3" t="s">
        <v>65</v>
      </c>
    </row>
    <row r="4" spans="1:11" ht="60" customHeight="1" x14ac:dyDescent="0.25">
      <c r="A4" s="4" t="s">
        <v>243</v>
      </c>
      <c r="B4" s="4" t="s">
        <v>244</v>
      </c>
      <c r="C4" s="4" t="s">
        <v>245</v>
      </c>
      <c r="D4" s="4" t="s">
        <v>246</v>
      </c>
      <c r="E4" s="4" t="s">
        <v>125</v>
      </c>
      <c r="F4" s="4" t="s">
        <v>247</v>
      </c>
      <c r="G4" s="4" t="s">
        <v>72</v>
      </c>
      <c r="H4" s="4" t="s">
        <v>73</v>
      </c>
      <c r="I4" s="4" t="s">
        <v>248</v>
      </c>
      <c r="J4" s="4" t="s">
        <v>75</v>
      </c>
      <c r="K4" s="4"/>
    </row>
    <row r="5" spans="1:11" ht="60" customHeight="1" x14ac:dyDescent="0.25">
      <c r="A5" s="4" t="s">
        <v>249</v>
      </c>
      <c r="B5" s="4" t="s">
        <v>250</v>
      </c>
      <c r="C5" s="4" t="s">
        <v>251</v>
      </c>
      <c r="D5" s="4" t="s">
        <v>252</v>
      </c>
      <c r="E5" s="4" t="s">
        <v>253</v>
      </c>
      <c r="F5" s="4" t="s">
        <v>254</v>
      </c>
      <c r="G5" s="4" t="s">
        <v>72</v>
      </c>
      <c r="H5" s="4" t="s">
        <v>73</v>
      </c>
      <c r="I5" s="4" t="s">
        <v>255</v>
      </c>
      <c r="J5" s="4" t="s">
        <v>75</v>
      </c>
      <c r="K5" s="4"/>
    </row>
    <row r="6" spans="1:11" ht="60" customHeight="1" x14ac:dyDescent="0.25">
      <c r="A6" s="4" t="s">
        <v>256</v>
      </c>
      <c r="B6" s="4" t="s">
        <v>257</v>
      </c>
      <c r="C6" s="4" t="s">
        <v>251</v>
      </c>
      <c r="D6" s="4" t="s">
        <v>258</v>
      </c>
      <c r="E6" s="4" t="s">
        <v>259</v>
      </c>
      <c r="F6" s="4" t="s">
        <v>260</v>
      </c>
      <c r="G6" s="4" t="s">
        <v>72</v>
      </c>
      <c r="H6" s="4" t="s">
        <v>81</v>
      </c>
      <c r="I6" s="4" t="s">
        <v>261</v>
      </c>
      <c r="J6" s="4" t="s">
        <v>75</v>
      </c>
      <c r="K6" s="4"/>
    </row>
    <row r="7" spans="1:11" ht="60" customHeight="1" x14ac:dyDescent="0.25">
      <c r="A7" s="4" t="s">
        <v>262</v>
      </c>
      <c r="B7" s="4" t="s">
        <v>263</v>
      </c>
      <c r="C7" s="4" t="s">
        <v>251</v>
      </c>
      <c r="D7" s="4" t="s">
        <v>264</v>
      </c>
      <c r="E7" s="4" t="s">
        <v>265</v>
      </c>
      <c r="F7" s="4" t="s">
        <v>266</v>
      </c>
      <c r="G7" s="4" t="s">
        <v>72</v>
      </c>
      <c r="H7" s="4" t="s">
        <v>81</v>
      </c>
      <c r="I7" s="4" t="s">
        <v>267</v>
      </c>
      <c r="J7" s="4" t="s">
        <v>75</v>
      </c>
      <c r="K7" s="4"/>
    </row>
    <row r="8" spans="1:11" ht="60" customHeight="1" x14ac:dyDescent="0.25">
      <c r="A8" s="4" t="s">
        <v>268</v>
      </c>
      <c r="B8" s="4" t="s">
        <v>269</v>
      </c>
      <c r="C8" s="4" t="s">
        <v>251</v>
      </c>
      <c r="D8" s="4" t="s">
        <v>270</v>
      </c>
      <c r="E8" s="4" t="s">
        <v>271</v>
      </c>
      <c r="F8" s="4" t="s">
        <v>272</v>
      </c>
      <c r="G8" s="4" t="s">
        <v>72</v>
      </c>
      <c r="H8" s="4" t="s">
        <v>81</v>
      </c>
      <c r="I8" s="4" t="s">
        <v>273</v>
      </c>
      <c r="J8" s="4" t="s">
        <v>75</v>
      </c>
      <c r="K8" s="4"/>
    </row>
    <row r="9" spans="1:11" ht="60" customHeight="1" x14ac:dyDescent="0.25">
      <c r="A9" s="4" t="s">
        <v>274</v>
      </c>
      <c r="B9" s="4" t="s">
        <v>275</v>
      </c>
      <c r="C9" s="4" t="s">
        <v>251</v>
      </c>
      <c r="D9" s="4" t="s">
        <v>276</v>
      </c>
      <c r="E9" s="4" t="s">
        <v>125</v>
      </c>
      <c r="F9" s="4" t="s">
        <v>277</v>
      </c>
      <c r="G9" s="4" t="s">
        <v>93</v>
      </c>
      <c r="H9" s="4" t="s">
        <v>73</v>
      </c>
      <c r="I9" s="4" t="s">
        <v>278</v>
      </c>
      <c r="J9" s="4" t="s">
        <v>75</v>
      </c>
      <c r="K9" s="4"/>
    </row>
    <row r="10" spans="1:11" ht="60" customHeight="1" x14ac:dyDescent="0.25">
      <c r="A10" s="4" t="s">
        <v>279</v>
      </c>
      <c r="B10" s="4" t="s">
        <v>280</v>
      </c>
      <c r="C10" s="4" t="s">
        <v>281</v>
      </c>
      <c r="D10" s="4" t="s">
        <v>282</v>
      </c>
      <c r="E10" s="4" t="s">
        <v>283</v>
      </c>
      <c r="F10" s="4" t="s">
        <v>284</v>
      </c>
      <c r="G10" s="4" t="s">
        <v>72</v>
      </c>
      <c r="H10" s="4" t="s">
        <v>73</v>
      </c>
      <c r="I10" s="4" t="s">
        <v>285</v>
      </c>
      <c r="J10" s="4" t="s">
        <v>75</v>
      </c>
      <c r="K10" s="4"/>
    </row>
    <row r="11" spans="1:11" ht="60" customHeight="1" x14ac:dyDescent="0.25">
      <c r="A11" s="4" t="s">
        <v>286</v>
      </c>
      <c r="B11" s="4" t="s">
        <v>287</v>
      </c>
      <c r="C11" s="4" t="s">
        <v>288</v>
      </c>
      <c r="D11" s="4" t="s">
        <v>276</v>
      </c>
      <c r="E11" s="4" t="s">
        <v>125</v>
      </c>
      <c r="F11" s="4" t="s">
        <v>289</v>
      </c>
      <c r="G11" s="4" t="s">
        <v>93</v>
      </c>
      <c r="H11" s="4" t="s">
        <v>73</v>
      </c>
      <c r="I11" s="4" t="s">
        <v>290</v>
      </c>
      <c r="J11" s="4" t="s">
        <v>75</v>
      </c>
      <c r="K11" s="4"/>
    </row>
    <row r="12" spans="1:11" ht="60" customHeight="1" x14ac:dyDescent="0.25">
      <c r="A12" s="4" t="s">
        <v>291</v>
      </c>
      <c r="B12" s="4" t="s">
        <v>292</v>
      </c>
      <c r="C12" s="4" t="s">
        <v>288</v>
      </c>
      <c r="D12" s="4" t="s">
        <v>293</v>
      </c>
      <c r="E12" s="4" t="s">
        <v>125</v>
      </c>
      <c r="F12" s="4" t="s">
        <v>294</v>
      </c>
      <c r="G12" s="4" t="s">
        <v>72</v>
      </c>
      <c r="H12" s="4" t="s">
        <v>73</v>
      </c>
      <c r="I12" s="4" t="s">
        <v>295</v>
      </c>
      <c r="J12" s="4" t="s">
        <v>75</v>
      </c>
      <c r="K12" s="4"/>
    </row>
    <row r="13" spans="1:11" ht="60" customHeight="1" x14ac:dyDescent="0.25">
      <c r="A13" s="4" t="s">
        <v>296</v>
      </c>
      <c r="B13" s="4" t="s">
        <v>297</v>
      </c>
      <c r="C13" s="4" t="s">
        <v>298</v>
      </c>
      <c r="D13" s="4" t="s">
        <v>299</v>
      </c>
      <c r="E13" s="4" t="s">
        <v>125</v>
      </c>
      <c r="F13" s="4" t="s">
        <v>300</v>
      </c>
      <c r="G13" s="4" t="s">
        <v>93</v>
      </c>
      <c r="H13" s="4" t="s">
        <v>73</v>
      </c>
      <c r="I13" s="4" t="s">
        <v>301</v>
      </c>
      <c r="J13" s="4" t="s">
        <v>75</v>
      </c>
      <c r="K13" s="4"/>
    </row>
    <row r="14" spans="1:11" ht="60" customHeight="1" x14ac:dyDescent="0.25">
      <c r="A14" s="4" t="s">
        <v>302</v>
      </c>
      <c r="B14" s="4" t="s">
        <v>303</v>
      </c>
      <c r="C14" s="4" t="s">
        <v>304</v>
      </c>
      <c r="D14" s="4" t="s">
        <v>305</v>
      </c>
      <c r="E14" s="4" t="s">
        <v>306</v>
      </c>
      <c r="F14" s="4" t="s">
        <v>307</v>
      </c>
      <c r="G14" s="4" t="s">
        <v>93</v>
      </c>
      <c r="H14" s="4" t="s">
        <v>81</v>
      </c>
      <c r="I14" s="4" t="s">
        <v>308</v>
      </c>
      <c r="J14" s="4" t="s">
        <v>309</v>
      </c>
      <c r="K14" s="4" t="s">
        <v>310</v>
      </c>
    </row>
    <row r="15" spans="1:11" ht="60" customHeight="1" x14ac:dyDescent="0.25">
      <c r="A15" s="4" t="s">
        <v>311</v>
      </c>
      <c r="B15" s="4" t="s">
        <v>312</v>
      </c>
      <c r="C15" s="4" t="s">
        <v>251</v>
      </c>
      <c r="D15" s="4" t="s">
        <v>313</v>
      </c>
      <c r="E15" s="4" t="s">
        <v>314</v>
      </c>
      <c r="F15" s="4" t="s">
        <v>315</v>
      </c>
      <c r="G15" s="4" t="s">
        <v>109</v>
      </c>
      <c r="H15" s="4" t="s">
        <v>81</v>
      </c>
      <c r="I15" s="4" t="s">
        <v>316</v>
      </c>
      <c r="J15" s="4" t="s">
        <v>75</v>
      </c>
      <c r="K15" s="4"/>
    </row>
  </sheetData>
  <mergeCells count="2">
    <mergeCell ref="A1:K1"/>
    <mergeCell ref="A2:K2"/>
  </mergeCells>
  <dataValidations count="3">
    <dataValidation type="list" allowBlank="1" sqref="J4:J15">
      <formula1>"Not Run,Pass,Fail,Blocked"</formula1>
      <formula2>0</formula2>
    </dataValidation>
    <dataValidation type="list" allowBlank="1" sqref="G4:G15">
      <formula1>"High,Medium,Low"</formula1>
      <formula2>0</formula2>
    </dataValidation>
    <dataValidation type="list" allowBlank="1" sqref="H4:H15">
      <formula1>"Positive,Negative"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showGridLines="0" zoomScaleNormal="100" workbookViewId="0">
      <selection sqref="A1:F8"/>
    </sheetView>
  </sheetViews>
  <sheetFormatPr defaultColWidth="8.7109375" defaultRowHeight="15" x14ac:dyDescent="0.25"/>
  <cols>
    <col min="1" max="1" width="26" customWidth="1"/>
    <col min="2" max="6" width="14" customWidth="1"/>
  </cols>
  <sheetData>
    <row r="1" spans="1:6" ht="20.25" customHeight="1" x14ac:dyDescent="0.3">
      <c r="A1" s="10" t="s">
        <v>317</v>
      </c>
      <c r="B1" s="10"/>
      <c r="C1" s="10"/>
      <c r="D1" s="10"/>
      <c r="E1" s="10"/>
      <c r="F1" s="10"/>
    </row>
    <row r="3" spans="1:6" x14ac:dyDescent="0.25">
      <c r="A3" s="3" t="s">
        <v>318</v>
      </c>
      <c r="B3" s="3" t="s">
        <v>319</v>
      </c>
      <c r="C3" s="3" t="s">
        <v>75</v>
      </c>
      <c r="D3" s="3" t="s">
        <v>309</v>
      </c>
      <c r="E3" s="3" t="s">
        <v>320</v>
      </c>
      <c r="F3" s="3" t="s">
        <v>321</v>
      </c>
    </row>
    <row r="4" spans="1:6" x14ac:dyDescent="0.25">
      <c r="A4" s="5" t="s">
        <v>322</v>
      </c>
      <c r="B4" s="5">
        <v>11</v>
      </c>
      <c r="C4" s="5">
        <f>COUNTIF(Login!J4:J14,"Pass")</f>
        <v>11</v>
      </c>
      <c r="D4" s="5">
        <f>COUNTIF(Login!J4:J14,"Fail")</f>
        <v>0</v>
      </c>
      <c r="E4" s="5">
        <f>COUNTIF(Login!J4:J14,"Blocked")</f>
        <v>0</v>
      </c>
      <c r="F4" s="5">
        <f>COUNTIF(Login!J4:J14,"Not Run")</f>
        <v>0</v>
      </c>
    </row>
    <row r="5" spans="1:6" x14ac:dyDescent="0.25">
      <c r="A5" s="5" t="s">
        <v>323</v>
      </c>
      <c r="B5" s="5">
        <v>8</v>
      </c>
      <c r="C5" s="5">
        <f>COUNTIF('Product Sort &amp; Filter'!J4:J11,"Pass")</f>
        <v>8</v>
      </c>
      <c r="D5" s="5">
        <f>COUNTIF('Product Sort &amp; Filter'!J4:J11,"Fail")</f>
        <v>0</v>
      </c>
      <c r="E5" s="5">
        <f>COUNTIF('Product Sort &amp; Filter'!J4:J11,"Blocked")</f>
        <v>0</v>
      </c>
      <c r="F5" s="5">
        <f>COUNTIF('Product Sort &amp; Filter'!J4:J11,"Not Run")</f>
        <v>0</v>
      </c>
    </row>
    <row r="6" spans="1:6" x14ac:dyDescent="0.25">
      <c r="A6" s="5" t="s">
        <v>324</v>
      </c>
      <c r="B6" s="5">
        <v>9</v>
      </c>
      <c r="C6" s="5">
        <f>COUNTIF('Add to Cart'!J4:J12,"Pass")</f>
        <v>9</v>
      </c>
      <c r="D6" s="5">
        <f>COUNTIF('Add to Cart'!J4:J12,"Fail")</f>
        <v>0</v>
      </c>
      <c r="E6" s="5">
        <f>COUNTIF('Add to Cart'!J4:J12,"Blocked")</f>
        <v>0</v>
      </c>
      <c r="F6" s="5">
        <f>COUNTIF('Add to Cart'!J4:J12,"Not Run")</f>
        <v>0</v>
      </c>
    </row>
    <row r="7" spans="1:6" x14ac:dyDescent="0.25">
      <c r="A7" s="5" t="s">
        <v>325</v>
      </c>
      <c r="B7" s="5">
        <v>12</v>
      </c>
      <c r="C7" s="5">
        <f>COUNTIF(Checkout!J4:J15,"Pass")</f>
        <v>11</v>
      </c>
      <c r="D7" s="5">
        <f>COUNTIF(Checkout!J4:J15,"Fail")</f>
        <v>1</v>
      </c>
      <c r="E7" s="5">
        <f>COUNTIF(Checkout!J4:J15,"Blocked")</f>
        <v>0</v>
      </c>
      <c r="F7" s="5">
        <f>COUNTIF(Checkout!J4:J15,"Not Run")</f>
        <v>0</v>
      </c>
    </row>
    <row r="8" spans="1:6" x14ac:dyDescent="0.25">
      <c r="A8" s="6" t="s">
        <v>326</v>
      </c>
      <c r="B8" s="6">
        <f>SUM(B4:B7)</f>
        <v>40</v>
      </c>
      <c r="C8" s="6">
        <f>SUM(C4:C7)</f>
        <v>39</v>
      </c>
      <c r="D8" s="6">
        <f>SUM(D4:D7)</f>
        <v>1</v>
      </c>
      <c r="E8" s="6">
        <f>SUM(E4:E7)</f>
        <v>0</v>
      </c>
      <c r="F8" s="6">
        <f>SUM(F4:F7)</f>
        <v>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topLeftCell="H1" zoomScaleNormal="100" workbookViewId="0">
      <pane ySplit="3" topLeftCell="A4" activePane="bottomLeft" state="frozen"/>
      <selection pane="bottomLeft" activeCell="J8" sqref="J8"/>
    </sheetView>
  </sheetViews>
  <sheetFormatPr defaultColWidth="8.7109375" defaultRowHeight="15" x14ac:dyDescent="0.25"/>
  <cols>
    <col min="1" max="1" width="14" customWidth="1"/>
    <col min="2" max="2" width="30" customWidth="1"/>
    <col min="3" max="3" width="18" customWidth="1"/>
    <col min="4" max="4" width="14" customWidth="1"/>
    <col min="5" max="5" width="16" customWidth="1"/>
    <col min="6" max="7" width="12" customWidth="1"/>
    <col min="8" max="8" width="42" customWidth="1"/>
    <col min="9" max="10" width="34" customWidth="1"/>
    <col min="11" max="11" width="12" customWidth="1"/>
    <col min="12" max="12" width="15" customWidth="1"/>
    <col min="13" max="13" width="14" customWidth="1"/>
    <col min="14" max="14" width="36" customWidth="1"/>
  </cols>
  <sheetData>
    <row r="1" spans="1:14" ht="20.25" customHeight="1" x14ac:dyDescent="0.3">
      <c r="A1" s="10" t="s">
        <v>327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30" customHeight="1" x14ac:dyDescent="0.25">
      <c r="A2" s="11" t="s">
        <v>328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27.75" customHeight="1" x14ac:dyDescent="0.25">
      <c r="A3" s="3" t="s">
        <v>329</v>
      </c>
      <c r="B3" s="3" t="s">
        <v>56</v>
      </c>
      <c r="C3" s="3" t="s">
        <v>330</v>
      </c>
      <c r="D3" s="3" t="s">
        <v>318</v>
      </c>
      <c r="E3" s="3" t="s">
        <v>331</v>
      </c>
      <c r="F3" s="3" t="s">
        <v>332</v>
      </c>
      <c r="G3" s="3" t="s">
        <v>61</v>
      </c>
      <c r="H3" s="3" t="s">
        <v>333</v>
      </c>
      <c r="I3" s="3" t="s">
        <v>60</v>
      </c>
      <c r="J3" s="3" t="s">
        <v>63</v>
      </c>
      <c r="K3" s="3" t="s">
        <v>64</v>
      </c>
      <c r="L3" s="3" t="s">
        <v>334</v>
      </c>
      <c r="M3" s="3" t="s">
        <v>335</v>
      </c>
      <c r="N3" s="3" t="s">
        <v>336</v>
      </c>
    </row>
    <row r="4" spans="1:14" ht="75" customHeight="1" x14ac:dyDescent="0.25">
      <c r="A4" s="4" t="s">
        <v>337</v>
      </c>
      <c r="B4" s="4" t="s">
        <v>338</v>
      </c>
      <c r="C4" s="4" t="s">
        <v>302</v>
      </c>
      <c r="D4" s="4" t="s">
        <v>325</v>
      </c>
      <c r="E4" s="4" t="s">
        <v>339</v>
      </c>
      <c r="F4" s="4" t="s">
        <v>93</v>
      </c>
      <c r="G4" s="4" t="s">
        <v>93</v>
      </c>
      <c r="H4" s="4" t="s">
        <v>340</v>
      </c>
      <c r="I4" s="4" t="s">
        <v>341</v>
      </c>
      <c r="J4" s="4" t="s">
        <v>342</v>
      </c>
      <c r="K4" s="4" t="s">
        <v>343</v>
      </c>
      <c r="L4" s="7">
        <v>46217</v>
      </c>
      <c r="M4" s="4" t="s">
        <v>344</v>
      </c>
      <c r="N4" s="4" t="s">
        <v>345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Plan</vt:lpstr>
      <vt:lpstr>Login</vt:lpstr>
      <vt:lpstr>Product Sort &amp; Filter</vt:lpstr>
      <vt:lpstr>Add to Cart</vt:lpstr>
      <vt:lpstr>Checkout</vt:lpstr>
      <vt:lpstr>Test Summary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Hi</cp:lastModifiedBy>
  <cp:revision>0</cp:revision>
  <dcterms:created xsi:type="dcterms:W3CDTF">2026-07-14T14:20:08Z</dcterms:created>
  <dcterms:modified xsi:type="dcterms:W3CDTF">2026-07-15T13:10:02Z</dcterms:modified>
  <dc:language>en-US</dc:language>
</cp:coreProperties>
</file>